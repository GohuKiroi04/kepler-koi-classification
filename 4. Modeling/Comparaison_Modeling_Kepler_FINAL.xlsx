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henallux-my.sharepoint.com/personal/etu46299_henallux_be/Documents/Bachelier IA/B2/Q2/E253A-Machine learning/Kepler August exam/4. Modeling/"/>
    </mc:Choice>
  </mc:AlternateContent>
  <xr:revisionPtr revIDLastSave="9" documentId="11_6DB37540EBA29BE575914E7ED232E7B65F59AA85" xr6:coauthVersionLast="47" xr6:coauthVersionMax="47" xr10:uidLastSave="{DE34188C-2FD6-504F-B9E4-495595007D6E}"/>
  <bookViews>
    <workbookView xWindow="-120" yWindow="-120" windowWidth="29040" windowHeight="15840" xr2:uid="{00000000-000D-0000-FFFF-FFFF00000000}"/>
  </bookViews>
  <sheets>
    <sheet name="Comparaison" sheetId="1" r:id="rId1"/>
    <sheet name="Détail classes" sheetId="2" r:id="rId2"/>
    <sheet name="Choix final"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3" l="1"/>
  <c r="P10" i="1"/>
  <c r="J10" i="1"/>
  <c r="I10" i="1"/>
  <c r="F10" i="1"/>
  <c r="P9" i="1"/>
  <c r="J9" i="1"/>
  <c r="I9" i="1"/>
  <c r="F9" i="1"/>
  <c r="P8" i="1"/>
  <c r="J8" i="1"/>
  <c r="I8" i="1"/>
  <c r="F8" i="1"/>
  <c r="P7" i="1"/>
  <c r="J7" i="1"/>
  <c r="I7" i="1"/>
  <c r="F7" i="1"/>
  <c r="P6" i="1"/>
  <c r="J6" i="1"/>
  <c r="I6" i="1"/>
  <c r="F6" i="1"/>
  <c r="P5" i="1"/>
  <c r="J5" i="1"/>
  <c r="I5" i="1"/>
  <c r="F5" i="1"/>
</calcChain>
</file>

<file path=xl/sharedStrings.xml><?xml version="1.0" encoding="utf-8"?>
<sst xmlns="http://schemas.openxmlformats.org/spreadsheetml/2006/main" count="87" uniqueCount="62">
  <si>
    <t>Comparaison finale des 6 combinaisons — Dataset Kepler</t>
  </si>
  <si>
    <t>Métrique principale : F1-macro | CV : StratifiedGroupKFold (groups = kepid) | Le jeu de test est évalué uniquement après le tuning</t>
  </si>
  <si>
    <t>Combinaison</t>
  </si>
  <si>
    <t>Sélection</t>
  </si>
  <si>
    <t>Modèle</t>
  </si>
  <si>
    <t>Baseline Train F1</t>
  </si>
  <si>
    <t>Baseline CV F1</t>
  </si>
  <si>
    <t>Gap baseline</t>
  </si>
  <si>
    <t>Tuned Train F1</t>
  </si>
  <si>
    <t>Tuned CV F1</t>
  </si>
  <si>
    <t>Gap tuned</t>
  </si>
  <si>
    <t>Gain CV</t>
  </si>
  <si>
    <t>Std CV tuned</t>
  </si>
  <si>
    <t>Test Accuracy</t>
  </si>
  <si>
    <t>Test Precision macro</t>
  </si>
  <si>
    <t>Test Recall macro</t>
  </si>
  <si>
    <t>Test F1 macro</t>
  </si>
  <si>
    <t>Écart Test - CV</t>
  </si>
  <si>
    <t>Hyperparamètres retenus</t>
  </si>
  <si>
    <t>Diagnostic</t>
  </si>
  <si>
    <t>VT + RF</t>
  </si>
  <si>
    <t>VT</t>
  </si>
  <si>
    <t>Random Forest</t>
  </si>
  <si>
    <t>max_depth=20; max_features=0.5; min_samples_leaf=2; min_samples_split=5</t>
  </si>
  <si>
    <t>Meilleur F1-macro test. Surapprentissage encore présent, mais meilleure généralisation globale.</t>
  </si>
  <si>
    <t>P + RF</t>
  </si>
  <si>
    <t>P</t>
  </si>
  <si>
    <t>max_depth=20; max_features=sqrt; min_samples_leaf=2</t>
  </si>
  <si>
    <t>Surapprentissage important encore présent après tuning.</t>
  </si>
  <si>
    <t>KB + KNN</t>
  </si>
  <si>
    <t>KB</t>
  </si>
  <si>
    <t>KNN</t>
  </si>
  <si>
    <t>n_neighbors=11; p=1; weights=uniform</t>
  </si>
  <si>
    <t>Surapprentissage modéré réduit après tuning.</t>
  </si>
  <si>
    <t>KB + DT</t>
  </si>
  <si>
    <t>Decision Tree</t>
  </si>
  <si>
    <t>max_depth=10; max_features=0.5; min_samples_leaf=5</t>
  </si>
  <si>
    <t>Fort surapprentissage initial, fortement réduit par régularisation.</t>
  </si>
  <si>
    <t>P + KNN</t>
  </si>
  <si>
    <t>n_neighbors=15; p=1; weights=uniform</t>
  </si>
  <si>
    <t>Surapprentissage modéré nettement réduit après tuning.</t>
  </si>
  <si>
    <t>VT + DT</t>
  </si>
  <si>
    <t>max_depth=10; max_features=0.5; min_samples_leaf=2</t>
  </si>
  <si>
    <t>Fort surapprentissage initial, nettement réduit après tuning.</t>
  </si>
  <si>
    <t>Lecture : le F1-macro est privilégié car il donne le même poids aux trois classes. Un gap Train/CV élevé indique un surapprentissage. Le meilleur modèle est choisi sur la combinaison performance de validation, performance sur le test final, stabilité entre folds et capacité de généralisation.</t>
  </si>
  <si>
    <t>Performances finales par classe</t>
  </si>
  <si>
    <t>F1 CANDIDATE</t>
  </si>
  <si>
    <t>F1 CONFIRMED</t>
  </si>
  <si>
    <t>F1 FALSE POSITIVE</t>
  </si>
  <si>
    <t>CANDIDATE corrects</t>
  </si>
  <si>
    <t>CONFIRMED corrects</t>
  </si>
  <si>
    <t>FALSE POSITIVE corrects</t>
  </si>
  <si>
    <t>Constat : CANDIDATE reste la classe la plus difficile pour toutes les combinaisons. VT + Random Forest obtient toutefois le meilleur F1 pour CANDIDATE, CONFIRMED et FALSE POSITIVE. Cette domination sur les trois classes renforce son choix : son avantage ne vient pas uniquement de la classe majoritaire.</t>
  </si>
  <si>
    <t>Modèle sélectionné : Variance Threshold + Random Forest</t>
  </si>
  <si>
    <t>Indicateur</t>
  </si>
  <si>
    <t>Valeur</t>
  </si>
  <si>
    <t>Justification du choix
• C'est la combinaison qui obtient le meilleur F1-macro sur le jeu de test (≈ 0,7534) et la meilleure accuracy (≈ 0,7860).
• Elle obtient également le meilleur F1 individuel sur les trois classes, y compris CANDIDATE, la classe la plus difficile.
• Le F1 test reste proche, et même légèrement supérieur, au F1 estimé par validation croisée (~0,7405), ce qui ne montre pas de chute de généralisation sur le test final.
• Un surapprentissage subsiste (Train ≈ 0,9776 contre CV ≈ 0,7405), mais les autres combinaisons offrent des performances finales inférieures.
• La configuration régularisée est préférée à la forêt non contrainte car elle réduit le gap Train/CV pour une perte de validation négligeable.</t>
  </si>
  <si>
    <t>Std CV</t>
  </si>
  <si>
    <t>Test F1-macro</t>
  </si>
  <si>
    <t>F1 CV tuned</t>
  </si>
  <si>
    <t>F1 test</t>
  </si>
  <si>
    <t>Réflexion finale : le meilleur résultat ne vient pas de la sélection de variables la plus restrictive. Variance Threshold conserve un ensemble plus large de variables et le Random Forest semble exploiter efficacement leurs interactions. La difficulté persistante de la classe CANDIDATE peut en outre refléter l'ambiguïté intrinsèque de ce statut dans le catalogue Kepler, et pas uniquement une limite du modèle.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</si>
</sst>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7">
    <font>
      <sz val="11"/>
      <name val="Carlito"/>
    </font>
    <font>
      <b/>
      <sz val="15"/>
      <color rgb="FFFFFFFF"/>
      <name val="Carlito"/>
    </font>
    <font>
      <i/>
      <sz val="11"/>
      <name val="Carlito"/>
    </font>
    <font>
      <b/>
      <sz val="11"/>
      <color rgb="FFFFFFFF"/>
      <name val="Carlito"/>
    </font>
    <font>
      <b/>
      <sz val="11"/>
      <name val="Carlito"/>
    </font>
    <font>
      <b/>
      <sz val="14"/>
      <color rgb="FFFFFFFF"/>
      <name val="Carlito"/>
    </font>
    <font>
      <b/>
      <sz val="16"/>
      <color rgb="FFFFFFFF"/>
      <name val="Carlito"/>
    </font>
  </fonts>
  <fills count="9">
    <fill>
      <patternFill patternType="none"/>
    </fill>
    <fill>
      <patternFill patternType="gray125"/>
    </fill>
    <fill>
      <patternFill patternType="solid">
        <fgColor rgb="FF1F4E78"/>
      </patternFill>
    </fill>
    <fill>
      <patternFill patternType="solid">
        <fgColor rgb="FFD9EAF7"/>
      </patternFill>
    </fill>
    <fill>
      <patternFill patternType="solid">
        <fgColor rgb="FF5B9BD5"/>
      </patternFill>
    </fill>
    <fill>
      <patternFill patternType="solid">
        <fgColor rgb="FFE2F0D9"/>
      </patternFill>
    </fill>
    <fill>
      <patternFill patternType="solid">
        <fgColor rgb="FFFFF2CC"/>
      </patternFill>
    </fill>
    <fill>
      <patternFill patternType="solid">
        <fgColor rgb="FFEAF2F8"/>
      </patternFill>
    </fill>
    <fill>
      <patternFill patternType="solid">
        <fgColor rgb="FF2F75B5"/>
      </patternFill>
    </fill>
  </fills>
  <borders count="1">
    <border>
      <left/>
      <right/>
      <top/>
      <bottom/>
      <diagonal/>
    </border>
  </borders>
  <cellStyleXfs count="1">
    <xf numFmtId="0" fontId="0" fillId="0" borderId="0"/>
  </cellStyleXfs>
  <cellXfs count="21">
    <xf numFmtId="0" fontId="0" fillId="0" borderId="0" xfId="0"/>
    <xf numFmtId="0" fontId="3" fillId="4" borderId="0" xfId="0" applyFont="1" applyFill="1"/>
    <xf numFmtId="0" fontId="3" fillId="4" borderId="0" xfId="0" applyFont="1" applyFill="1" applyAlignment="1">
      <alignment horizontal="center" wrapText="1"/>
    </xf>
    <xf numFmtId="0" fontId="3" fillId="4" borderId="0" xfId="0" applyFont="1" applyFill="1" applyAlignment="1">
      <alignment horizontal="center" vertical="center" wrapText="1"/>
    </xf>
    <xf numFmtId="164" fontId="0" fillId="0" borderId="0" xfId="0" applyNumberFormat="1"/>
    <xf numFmtId="0" fontId="0" fillId="0" borderId="0" xfId="0" applyAlignment="1">
      <alignment vertical="center"/>
    </xf>
    <xf numFmtId="164" fontId="0" fillId="0" borderId="0" xfId="0" applyNumberFormat="1" applyAlignment="1">
      <alignment vertical="center"/>
    </xf>
    <xf numFmtId="0" fontId="0" fillId="0" borderId="0" xfId="0" applyAlignment="1">
      <alignment vertical="center" wrapText="1"/>
    </xf>
    <xf numFmtId="0" fontId="4" fillId="5" borderId="0" xfId="0" applyFont="1" applyFill="1" applyAlignment="1">
      <alignment vertical="center"/>
    </xf>
    <xf numFmtId="164" fontId="4" fillId="5" borderId="0" xfId="0" applyNumberFormat="1" applyFont="1" applyFill="1" applyAlignment="1">
      <alignment vertical="center"/>
    </xf>
    <xf numFmtId="0" fontId="4" fillId="5" borderId="0" xfId="0" applyFont="1" applyFill="1" applyAlignment="1">
      <alignment vertical="center" wrapText="1"/>
    </xf>
    <xf numFmtId="0" fontId="4" fillId="5" borderId="0" xfId="0" applyFont="1" applyFill="1"/>
    <xf numFmtId="164" fontId="4" fillId="5" borderId="0" xfId="0" applyNumberFormat="1" applyFont="1" applyFill="1"/>
    <xf numFmtId="0" fontId="1" fillId="2" borderId="0" xfId="0" applyFont="1" applyFill="1" applyAlignment="1">
      <alignment horizontal="center" vertical="center"/>
    </xf>
    <xf numFmtId="0" fontId="2" fillId="3" borderId="0" xfId="0" applyFont="1" applyFill="1" applyAlignment="1">
      <alignment horizontal="center" wrapText="1"/>
    </xf>
    <xf numFmtId="0" fontId="2" fillId="6" borderId="0" xfId="0" applyFont="1" applyFill="1" applyAlignment="1">
      <alignment vertical="center" wrapText="1"/>
    </xf>
    <xf numFmtId="0" fontId="5" fillId="2" borderId="0" xfId="0" applyFont="1" applyFill="1" applyAlignment="1">
      <alignment horizontal="center"/>
    </xf>
    <xf numFmtId="0" fontId="0" fillId="7" borderId="0" xfId="0" applyFill="1" applyAlignment="1">
      <alignment vertical="center" wrapText="1"/>
    </xf>
    <xf numFmtId="0" fontId="6" fillId="8" borderId="0" xfId="0" applyFont="1" applyFill="1" applyAlignment="1">
      <alignment horizontal="center"/>
    </xf>
    <xf numFmtId="0" fontId="0" fillId="5" borderId="0" xfId="0" applyFill="1" applyAlignment="1">
      <alignment vertical="top" wrapText="1"/>
    </xf>
    <xf numFmtId="0" fontId="0" fillId="6" borderId="0" xfId="0"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a:lstStyle/>
          <a:p>
            <a:r>
              <a:t>F1-macro : validation croisée vs test final</a:t>
            </a:r>
          </a:p>
        </c:rich>
      </c:tx>
      <c:overlay val="1"/>
    </c:title>
    <c:autoTitleDeleted val="0"/>
    <c:plotArea>
      <c:layout/>
      <c:barChart>
        <c:barDir val="col"/>
        <c:grouping val="clustered"/>
        <c:varyColors val="0"/>
        <c:ser>
          <c:idx val="0"/>
          <c:order val="0"/>
          <c:tx>
            <c:v>F1 CV tuned</c:v>
          </c:tx>
          <c:invertIfNegative val="1"/>
          <c:cat>
            <c:strRef>
              <c:f>'Choix final'!$A$14:$A$19</c:f>
              <c:strCache>
                <c:ptCount val="6"/>
                <c:pt idx="0">
                  <c:v>VT + RF</c:v>
                </c:pt>
                <c:pt idx="1">
                  <c:v>P + RF</c:v>
                </c:pt>
                <c:pt idx="2">
                  <c:v>KB + KNN</c:v>
                </c:pt>
                <c:pt idx="3">
                  <c:v>KB + DT</c:v>
                </c:pt>
                <c:pt idx="4">
                  <c:v>P + KNN</c:v>
                </c:pt>
                <c:pt idx="5">
                  <c:v>VT + DT</c:v>
                </c:pt>
              </c:strCache>
            </c:strRef>
          </c:cat>
          <c:val>
            <c:numRef>
              <c:f>'Choix final'!$B$14:$B$19</c:f>
              <c:numCache>
                <c:formatCode>0.0000</c:formatCode>
                <c:ptCount val="6"/>
                <c:pt idx="0">
                  <c:v>0.74049166584904647</c:v>
                </c:pt>
                <c:pt idx="1">
                  <c:v>0.72415378321148249</c:v>
                </c:pt>
                <c:pt idx="2">
                  <c:v>0.69704492245411598</c:v>
                </c:pt>
                <c:pt idx="3">
                  <c:v>0.69113988976449381</c:v>
                </c:pt>
                <c:pt idx="4">
                  <c:v>0.69621063670355465</c:v>
                </c:pt>
                <c:pt idx="5">
                  <c:v>0.69273867309472936</c:v>
                </c:pt>
              </c:numCache>
            </c:numRef>
          </c:val>
          <c:extLst>
            <c:ext xmlns:c16="http://schemas.microsoft.com/office/drawing/2014/chart" uri="{C3380CC4-5D6E-409C-BE32-E72D297353CC}">
              <c16:uniqueId val="{00000000-52F1-4611-A576-650E7A862627}"/>
            </c:ext>
          </c:extLst>
        </c:ser>
        <c:ser>
          <c:idx val="1"/>
          <c:order val="1"/>
          <c:tx>
            <c:v>F1 test</c:v>
          </c:tx>
          <c:invertIfNegative val="1"/>
          <c:cat>
            <c:strRef>
              <c:f>'Choix final'!$A$14:$A$19</c:f>
              <c:strCache>
                <c:ptCount val="6"/>
                <c:pt idx="0">
                  <c:v>VT + RF</c:v>
                </c:pt>
                <c:pt idx="1">
                  <c:v>P + RF</c:v>
                </c:pt>
                <c:pt idx="2">
                  <c:v>KB + KNN</c:v>
                </c:pt>
                <c:pt idx="3">
                  <c:v>KB + DT</c:v>
                </c:pt>
                <c:pt idx="4">
                  <c:v>P + KNN</c:v>
                </c:pt>
                <c:pt idx="5">
                  <c:v>VT + DT</c:v>
                </c:pt>
              </c:strCache>
            </c:strRef>
          </c:cat>
          <c:val>
            <c:numRef>
              <c:f>'Choix final'!$C$14:$C$19</c:f>
              <c:numCache>
                <c:formatCode>0.0000</c:formatCode>
                <c:ptCount val="6"/>
                <c:pt idx="0">
                  <c:v>0.75343092430416403</c:v>
                </c:pt>
                <c:pt idx="1">
                  <c:v>0.71716938087003645</c:v>
                </c:pt>
                <c:pt idx="2">
                  <c:v>0.69090954504015079</c:v>
                </c:pt>
                <c:pt idx="3">
                  <c:v>0.69083899261555903</c:v>
                </c:pt>
                <c:pt idx="4">
                  <c:v>0.68663648343939798</c:v>
                </c:pt>
                <c:pt idx="5">
                  <c:v>0.68275506376707062</c:v>
                </c:pt>
              </c:numCache>
            </c:numRef>
          </c:val>
          <c:extLst>
            <c:ext xmlns:c16="http://schemas.microsoft.com/office/drawing/2014/chart" uri="{C3380CC4-5D6E-409C-BE32-E72D297353CC}">
              <c16:uniqueId val="{00000001-52F1-4611-A576-650E7A862627}"/>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0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0</xdr:colOff>
      <xdr:row>12</xdr:row>
      <xdr:rowOff>0</xdr:rowOff>
    </xdr:from>
    <xdr:to>
      <xdr:col>12</xdr:col>
      <xdr:colOff>0</xdr:colOff>
      <xdr:row>29</xdr:row>
      <xdr:rowOff>0</xdr:rowOff>
    </xdr:to>
    <xdr:graphicFrame macro="">
      <xdr:nvGraphicFramePr>
        <xdr:cNvPr id="2" name="Chart">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3"/>
  <sheetViews>
    <sheetView tabSelected="1" workbookViewId="0">
      <selection sqref="A1:R1"/>
    </sheetView>
  </sheetViews>
  <sheetFormatPr baseColWidth="10" defaultColWidth="9" defaultRowHeight="14.25"/>
  <cols>
    <col min="1" max="1" width="16" customWidth="1"/>
    <col min="2" max="2" width="10" customWidth="1"/>
    <col min="3" max="3" width="18" customWidth="1"/>
    <col min="4" max="16" width="15" customWidth="1"/>
    <col min="17" max="17" width="48" customWidth="1"/>
    <col min="18" max="18" width="44" customWidth="1"/>
  </cols>
  <sheetData>
    <row r="1" spans="1:18" ht="27.95" customHeight="1">
      <c r="A1" s="13" t="s">
        <v>0</v>
      </c>
      <c r="B1" s="13"/>
      <c r="C1" s="13"/>
      <c r="D1" s="13"/>
      <c r="E1" s="13"/>
      <c r="F1" s="13"/>
      <c r="G1" s="13"/>
      <c r="H1" s="13"/>
      <c r="I1" s="13"/>
      <c r="J1" s="13"/>
      <c r="K1" s="13"/>
      <c r="L1" s="13"/>
      <c r="M1" s="13"/>
      <c r="N1" s="13"/>
      <c r="O1" s="13"/>
      <c r="P1" s="13"/>
      <c r="Q1" s="13"/>
      <c r="R1" s="13"/>
    </row>
    <row r="2" spans="1:18">
      <c r="A2" s="14" t="s">
        <v>1</v>
      </c>
      <c r="B2" s="14"/>
      <c r="C2" s="14"/>
      <c r="D2" s="14"/>
      <c r="E2" s="14"/>
      <c r="F2" s="14"/>
      <c r="G2" s="14"/>
      <c r="H2" s="14"/>
      <c r="I2" s="14"/>
      <c r="J2" s="14"/>
      <c r="K2" s="14"/>
      <c r="L2" s="14"/>
      <c r="M2" s="14"/>
      <c r="N2" s="14"/>
      <c r="O2" s="14"/>
      <c r="P2" s="14"/>
      <c r="Q2" s="14"/>
      <c r="R2" s="14"/>
    </row>
    <row r="4" spans="1:18" ht="36" customHeight="1">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row>
    <row r="5" spans="1:18" ht="45">
      <c r="A5" s="8" t="s">
        <v>20</v>
      </c>
      <c r="B5" s="8" t="s">
        <v>21</v>
      </c>
      <c r="C5" s="8" t="s">
        <v>22</v>
      </c>
      <c r="D5" s="9">
        <v>1</v>
      </c>
      <c r="E5" s="9">
        <v>0.73905982633444556</v>
      </c>
      <c r="F5" s="9">
        <f t="shared" ref="F5:F10" si="0">D5-E5</f>
        <v>0.26094017366555444</v>
      </c>
      <c r="G5" s="9">
        <v>0.9776184684516076</v>
      </c>
      <c r="H5" s="9">
        <v>0.74049166584904647</v>
      </c>
      <c r="I5" s="9">
        <f t="shared" ref="I5:I10" si="1">G5-H5</f>
        <v>0.23712680260256114</v>
      </c>
      <c r="J5" s="9">
        <f t="shared" ref="J5:J10" si="2">H5-E5</f>
        <v>1.4318395146009077E-3</v>
      </c>
      <c r="K5" s="9">
        <v>1.420768203898487E-2</v>
      </c>
      <c r="L5" s="9">
        <v>0.78601472134595163</v>
      </c>
      <c r="M5" s="9">
        <v>0.75884777455080732</v>
      </c>
      <c r="N5" s="9">
        <v>0.75434655119022331</v>
      </c>
      <c r="O5" s="9">
        <v>0.75343092430416403</v>
      </c>
      <c r="P5" s="9">
        <f t="shared" ref="P5:P10" si="3">O5-H5</f>
        <v>1.2939258455117564E-2</v>
      </c>
      <c r="Q5" s="10" t="s">
        <v>23</v>
      </c>
      <c r="R5" s="10" t="s">
        <v>24</v>
      </c>
    </row>
    <row r="6" spans="1:18" ht="28.5">
      <c r="A6" s="5" t="s">
        <v>25</v>
      </c>
      <c r="B6" s="5" t="s">
        <v>26</v>
      </c>
      <c r="C6" s="5" t="s">
        <v>22</v>
      </c>
      <c r="D6" s="6">
        <v>1</v>
      </c>
      <c r="E6" s="6">
        <v>0.72221040908403444</v>
      </c>
      <c r="F6" s="6">
        <f t="shared" si="0"/>
        <v>0.27778959091596556</v>
      </c>
      <c r="G6" s="6">
        <v>0.96941532163752819</v>
      </c>
      <c r="H6" s="6">
        <v>0.72415378321148249</v>
      </c>
      <c r="I6" s="6">
        <f t="shared" si="1"/>
        <v>0.2452615384260457</v>
      </c>
      <c r="J6" s="6">
        <f t="shared" si="2"/>
        <v>1.9433741274480498E-3</v>
      </c>
      <c r="K6" s="6">
        <v>1.3027161026589663E-2</v>
      </c>
      <c r="L6" s="6">
        <v>0.74921135646687698</v>
      </c>
      <c r="M6" s="6">
        <v>0.71586703561747322</v>
      </c>
      <c r="N6" s="6">
        <v>0.72371548641370609</v>
      </c>
      <c r="O6" s="6">
        <v>0.71716938087003645</v>
      </c>
      <c r="P6" s="6">
        <f t="shared" si="3"/>
        <v>-6.9844023414460388E-3</v>
      </c>
      <c r="Q6" s="7" t="s">
        <v>27</v>
      </c>
      <c r="R6" s="7" t="s">
        <v>28</v>
      </c>
    </row>
    <row r="7" spans="1:18">
      <c r="A7" s="5" t="s">
        <v>29</v>
      </c>
      <c r="B7" s="5" t="s">
        <v>30</v>
      </c>
      <c r="C7" s="5" t="s">
        <v>31</v>
      </c>
      <c r="D7" s="6">
        <v>0.77884687002688247</v>
      </c>
      <c r="E7" s="6">
        <v>0.68422745732319479</v>
      </c>
      <c r="F7" s="6">
        <f t="shared" si="0"/>
        <v>9.4619412703687678E-2</v>
      </c>
      <c r="G7" s="6">
        <v>0.74886430785254765</v>
      </c>
      <c r="H7" s="6">
        <v>0.69704492245411598</v>
      </c>
      <c r="I7" s="6">
        <f t="shared" si="1"/>
        <v>5.1819385398431672E-2</v>
      </c>
      <c r="J7" s="6">
        <f t="shared" si="2"/>
        <v>1.2817465130921191E-2</v>
      </c>
      <c r="K7" s="6">
        <v>1.1113433993395516E-2</v>
      </c>
      <c r="L7" s="6">
        <v>0.72818086225026291</v>
      </c>
      <c r="M7" s="6">
        <v>0.68849903426991921</v>
      </c>
      <c r="N7" s="6">
        <v>0.69955348773928272</v>
      </c>
      <c r="O7" s="6">
        <v>0.69090954504015079</v>
      </c>
      <c r="P7" s="6">
        <f t="shared" si="3"/>
        <v>-6.1353774139651929E-3</v>
      </c>
      <c r="Q7" s="7" t="s">
        <v>32</v>
      </c>
      <c r="R7" s="7" t="s">
        <v>33</v>
      </c>
    </row>
    <row r="8" spans="1:18" ht="28.5">
      <c r="A8" s="5" t="s">
        <v>34</v>
      </c>
      <c r="B8" s="5" t="s">
        <v>30</v>
      </c>
      <c r="C8" s="5" t="s">
        <v>35</v>
      </c>
      <c r="D8" s="6">
        <v>1</v>
      </c>
      <c r="E8" s="6">
        <v>0.65252634941432708</v>
      </c>
      <c r="F8" s="6">
        <f t="shared" si="0"/>
        <v>0.34747365058567292</v>
      </c>
      <c r="G8" s="6">
        <v>0.78354038037458562</v>
      </c>
      <c r="H8" s="6">
        <v>0.69113988976449381</v>
      </c>
      <c r="I8" s="6">
        <f t="shared" si="1"/>
        <v>9.2400490610091812E-2</v>
      </c>
      <c r="J8" s="6">
        <f t="shared" si="2"/>
        <v>3.8613540350166731E-2</v>
      </c>
      <c r="K8" s="6">
        <v>2.158687165335901E-2</v>
      </c>
      <c r="L8" s="6">
        <v>0.72029442691903256</v>
      </c>
      <c r="M8" s="6">
        <v>0.68711256967234469</v>
      </c>
      <c r="N8" s="6">
        <v>0.69533329732916582</v>
      </c>
      <c r="O8" s="6">
        <v>0.69083899261555903</v>
      </c>
      <c r="P8" s="6">
        <f t="shared" si="3"/>
        <v>-3.0089714893477559E-4</v>
      </c>
      <c r="Q8" s="7" t="s">
        <v>36</v>
      </c>
      <c r="R8" s="7" t="s">
        <v>37</v>
      </c>
    </row>
    <row r="9" spans="1:18" ht="28.5">
      <c r="A9" s="5" t="s">
        <v>38</v>
      </c>
      <c r="B9" s="5" t="s">
        <v>26</v>
      </c>
      <c r="C9" s="5" t="s">
        <v>31</v>
      </c>
      <c r="D9" s="6">
        <v>0.78053584662476505</v>
      </c>
      <c r="E9" s="6">
        <v>0.67480908119211147</v>
      </c>
      <c r="F9" s="6">
        <f t="shared" si="0"/>
        <v>0.10572676543265358</v>
      </c>
      <c r="G9" s="6">
        <v>0.73742906539529574</v>
      </c>
      <c r="H9" s="6">
        <v>0.69621063670355465</v>
      </c>
      <c r="I9" s="6">
        <f t="shared" si="1"/>
        <v>4.1218428691741082E-2</v>
      </c>
      <c r="J9" s="6">
        <f t="shared" si="2"/>
        <v>2.1401555511443182E-2</v>
      </c>
      <c r="K9" s="6">
        <v>1.3438395915295049E-2</v>
      </c>
      <c r="L9" s="6">
        <v>0.72134595162986326</v>
      </c>
      <c r="M9" s="6">
        <v>0.68481512944103162</v>
      </c>
      <c r="N9" s="6">
        <v>0.6957868113618767</v>
      </c>
      <c r="O9" s="6">
        <v>0.68663648343939798</v>
      </c>
      <c r="P9" s="6">
        <f t="shared" si="3"/>
        <v>-9.5741532641566707E-3</v>
      </c>
      <c r="Q9" s="7" t="s">
        <v>39</v>
      </c>
      <c r="R9" s="7" t="s">
        <v>40</v>
      </c>
    </row>
    <row r="10" spans="1:18" ht="28.5">
      <c r="A10" s="5" t="s">
        <v>41</v>
      </c>
      <c r="B10" s="5" t="s">
        <v>21</v>
      </c>
      <c r="C10" s="5" t="s">
        <v>35</v>
      </c>
      <c r="D10" s="6">
        <v>1</v>
      </c>
      <c r="E10" s="6">
        <v>0.66026915172969247</v>
      </c>
      <c r="F10" s="6">
        <f t="shared" si="0"/>
        <v>0.33973084827030753</v>
      </c>
      <c r="G10" s="6">
        <v>0.83552668932994967</v>
      </c>
      <c r="H10" s="6">
        <v>0.69273867309472936</v>
      </c>
      <c r="I10" s="6">
        <f t="shared" si="1"/>
        <v>0.14278801623522031</v>
      </c>
      <c r="J10" s="6">
        <f t="shared" si="2"/>
        <v>3.2469521365036891E-2</v>
      </c>
      <c r="K10" s="6">
        <v>1.6778169342736449E-2</v>
      </c>
      <c r="L10" s="6">
        <v>0.71766561514195581</v>
      </c>
      <c r="M10" s="6">
        <v>0.67995215977185464</v>
      </c>
      <c r="N10" s="6">
        <v>0.68924045746756724</v>
      </c>
      <c r="O10" s="6">
        <v>0.68275506376707062</v>
      </c>
      <c r="P10" s="6">
        <f t="shared" si="3"/>
        <v>-9.9836093276587379E-3</v>
      </c>
      <c r="Q10" s="7" t="s">
        <v>42</v>
      </c>
      <c r="R10" s="7" t="s">
        <v>43</v>
      </c>
    </row>
    <row r="12" spans="1:18">
      <c r="A12" s="15" t="s">
        <v>44</v>
      </c>
      <c r="B12" s="15"/>
      <c r="C12" s="15"/>
      <c r="D12" s="15"/>
      <c r="E12" s="15"/>
      <c r="F12" s="15"/>
      <c r="G12" s="15"/>
      <c r="H12" s="15"/>
      <c r="I12" s="15"/>
      <c r="J12" s="15"/>
      <c r="K12" s="15"/>
      <c r="L12" s="15"/>
      <c r="M12" s="15"/>
      <c r="N12" s="15"/>
      <c r="O12" s="15"/>
      <c r="P12" s="15"/>
      <c r="Q12" s="15"/>
      <c r="R12" s="15"/>
    </row>
    <row r="13" spans="1:18">
      <c r="A13" s="15"/>
      <c r="B13" s="15"/>
      <c r="C13" s="15"/>
      <c r="D13" s="15"/>
      <c r="E13" s="15"/>
      <c r="F13" s="15"/>
      <c r="G13" s="15"/>
      <c r="H13" s="15"/>
      <c r="I13" s="15"/>
      <c r="J13" s="15"/>
      <c r="K13" s="15"/>
      <c r="L13" s="15"/>
      <c r="M13" s="15"/>
      <c r="N13" s="15"/>
      <c r="O13" s="15"/>
      <c r="P13" s="15"/>
      <c r="Q13" s="15"/>
      <c r="R13" s="15"/>
    </row>
  </sheetData>
  <mergeCells count="3">
    <mergeCell ref="A1:R1"/>
    <mergeCell ref="A2:R2"/>
    <mergeCell ref="A12:R13"/>
  </mergeCells>
  <conditionalFormatting sqref="I5:I10">
    <cfRule type="colorScale" priority="2">
      <colorScale>
        <cfvo type="min"/>
        <cfvo type="percentile" val="50"/>
        <cfvo type="max"/>
        <color rgb="FFE2F0D9"/>
        <color rgb="FFFFF2CC"/>
        <color rgb="FFFCE8E6"/>
      </colorScale>
    </cfRule>
  </conditionalFormatting>
  <conditionalFormatting sqref="O5:O10">
    <cfRule type="colorScale" priority="1">
      <colorScale>
        <cfvo type="min"/>
        <cfvo type="percentile" val="50"/>
        <cfvo type="max"/>
        <color rgb="FFFCE8E6"/>
        <color rgb="FFFFF2CC"/>
        <color rgb="FFE2F0D9"/>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3"/>
  <sheetViews>
    <sheetView workbookViewId="0"/>
  </sheetViews>
  <sheetFormatPr baseColWidth="10" defaultColWidth="9" defaultRowHeight="14.25"/>
  <cols>
    <col min="1" max="1" width="17" customWidth="1"/>
    <col min="2" max="4" width="18" customWidth="1"/>
    <col min="5" max="7" width="22" customWidth="1"/>
  </cols>
  <sheetData>
    <row r="1" spans="1:7" ht="18">
      <c r="A1" s="16" t="s">
        <v>45</v>
      </c>
      <c r="B1" s="16"/>
      <c r="C1" s="16"/>
      <c r="D1" s="16"/>
      <c r="E1" s="16"/>
      <c r="F1" s="16"/>
      <c r="G1" s="16"/>
    </row>
    <row r="3" spans="1:7" ht="30">
      <c r="A3" s="2" t="s">
        <v>2</v>
      </c>
      <c r="B3" s="2" t="s">
        <v>46</v>
      </c>
      <c r="C3" s="2" t="s">
        <v>47</v>
      </c>
      <c r="D3" s="2" t="s">
        <v>48</v>
      </c>
      <c r="E3" s="2" t="s">
        <v>49</v>
      </c>
      <c r="F3" s="2" t="s">
        <v>50</v>
      </c>
      <c r="G3" s="2" t="s">
        <v>51</v>
      </c>
    </row>
    <row r="4" spans="1:7" ht="15">
      <c r="A4" s="11" t="s">
        <v>20</v>
      </c>
      <c r="B4" s="12">
        <v>0.59478672985781988</v>
      </c>
      <c r="C4" s="12">
        <v>0.81092436974789917</v>
      </c>
      <c r="D4" s="12">
        <v>0.85458167330677293</v>
      </c>
      <c r="E4" s="11">
        <v>251</v>
      </c>
      <c r="F4" s="11">
        <v>386</v>
      </c>
      <c r="G4" s="11">
        <v>858</v>
      </c>
    </row>
    <row r="5" spans="1:7">
      <c r="A5" t="s">
        <v>25</v>
      </c>
      <c r="B5" s="4">
        <v>0.55196304849884525</v>
      </c>
      <c r="C5" s="4">
        <v>0.77709611451942739</v>
      </c>
      <c r="D5" s="4">
        <v>0.82244897959183672</v>
      </c>
      <c r="E5">
        <v>239</v>
      </c>
      <c r="F5">
        <v>380</v>
      </c>
      <c r="G5">
        <v>806</v>
      </c>
    </row>
    <row r="6" spans="1:7">
      <c r="A6" t="s">
        <v>29</v>
      </c>
      <c r="B6" s="4">
        <v>0.50406504065040647</v>
      </c>
      <c r="C6" s="4">
        <v>0.75555555555555554</v>
      </c>
      <c r="D6" s="4">
        <v>0.81310803891449057</v>
      </c>
      <c r="E6">
        <v>217</v>
      </c>
      <c r="F6">
        <v>374</v>
      </c>
      <c r="G6">
        <v>794</v>
      </c>
    </row>
    <row r="7" spans="1:7">
      <c r="A7" t="s">
        <v>34</v>
      </c>
      <c r="B7" s="4">
        <v>0.52777777777777779</v>
      </c>
      <c r="C7" s="4">
        <v>0.74121405750798719</v>
      </c>
      <c r="D7" s="4">
        <v>0.80352514256091234</v>
      </c>
      <c r="E7">
        <v>247</v>
      </c>
      <c r="F7">
        <v>348</v>
      </c>
      <c r="G7">
        <v>775</v>
      </c>
    </row>
    <row r="8" spans="1:7">
      <c r="A8" t="s">
        <v>38</v>
      </c>
      <c r="B8" s="4">
        <v>0.51920838183934803</v>
      </c>
      <c r="C8" s="4">
        <v>0.73926073926073921</v>
      </c>
      <c r="D8" s="4">
        <v>0.80144032921810704</v>
      </c>
      <c r="E8">
        <v>223</v>
      </c>
      <c r="F8">
        <v>370</v>
      </c>
      <c r="G8">
        <v>779</v>
      </c>
    </row>
    <row r="9" spans="1:7">
      <c r="A9" t="s">
        <v>41</v>
      </c>
      <c r="B9" s="4">
        <v>0.49142857142857138</v>
      </c>
      <c r="C9" s="4">
        <v>0.75826446280991733</v>
      </c>
      <c r="D9" s="4">
        <v>0.79857215706272311</v>
      </c>
      <c r="E9">
        <v>215</v>
      </c>
      <c r="F9">
        <v>367</v>
      </c>
      <c r="G9">
        <v>783</v>
      </c>
    </row>
    <row r="11" spans="1:7">
      <c r="A11" s="17" t="s">
        <v>52</v>
      </c>
      <c r="B11" s="17"/>
      <c r="C11" s="17"/>
      <c r="D11" s="17"/>
      <c r="E11" s="17"/>
      <c r="F11" s="17"/>
      <c r="G11" s="17"/>
    </row>
    <row r="12" spans="1:7">
      <c r="A12" s="17"/>
      <c r="B12" s="17"/>
      <c r="C12" s="17"/>
      <c r="D12" s="17"/>
      <c r="E12" s="17"/>
      <c r="F12" s="17"/>
      <c r="G12" s="17"/>
    </row>
    <row r="13" spans="1:7">
      <c r="A13" s="17"/>
      <c r="B13" s="17"/>
      <c r="C13" s="17"/>
      <c r="D13" s="17"/>
      <c r="E13" s="17"/>
      <c r="F13" s="17"/>
      <c r="G13" s="17"/>
    </row>
  </sheetData>
  <mergeCells count="2">
    <mergeCell ref="A1:G1"/>
    <mergeCell ref="A11:G13"/>
  </mergeCells>
  <conditionalFormatting sqref="B4:D9">
    <cfRule type="colorScale" priority="1">
      <colorScale>
        <cfvo type="min"/>
        <cfvo type="percentile" val="50"/>
        <cfvo type="max"/>
        <color rgb="FFFCE8E6"/>
        <color rgb="FFFFF2CC"/>
        <color rgb="FFE2F0D9"/>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4"/>
  <sheetViews>
    <sheetView workbookViewId="0"/>
  </sheetViews>
  <sheetFormatPr baseColWidth="10" defaultColWidth="9" defaultRowHeight="14.25"/>
  <cols>
    <col min="1" max="1" width="26" customWidth="1"/>
    <col min="2" max="2" width="18" customWidth="1"/>
  </cols>
  <sheetData>
    <row r="1" spans="1:8" ht="20.25">
      <c r="A1" s="18" t="s">
        <v>53</v>
      </c>
      <c r="B1" s="18"/>
      <c r="C1" s="18"/>
      <c r="D1" s="18"/>
      <c r="E1" s="18"/>
      <c r="F1" s="18"/>
      <c r="G1" s="18"/>
      <c r="H1" s="18"/>
    </row>
    <row r="3" spans="1:8" ht="15">
      <c r="A3" s="1" t="s">
        <v>54</v>
      </c>
      <c r="B3" s="1" t="s">
        <v>55</v>
      </c>
      <c r="D3" s="19" t="s">
        <v>56</v>
      </c>
      <c r="E3" s="19"/>
      <c r="F3" s="19"/>
      <c r="G3" s="19"/>
      <c r="H3" s="19"/>
    </row>
    <row r="4" spans="1:8">
      <c r="A4" t="s">
        <v>6</v>
      </c>
      <c r="B4" s="4">
        <v>0.73905982633444556</v>
      </c>
      <c r="D4" s="19"/>
      <c r="E4" s="19"/>
      <c r="F4" s="19"/>
      <c r="G4" s="19"/>
      <c r="H4" s="19"/>
    </row>
    <row r="5" spans="1:8">
      <c r="A5" t="s">
        <v>9</v>
      </c>
      <c r="B5" s="4">
        <v>0.74049166584904647</v>
      </c>
      <c r="D5" s="19"/>
      <c r="E5" s="19"/>
      <c r="F5" s="19"/>
      <c r="G5" s="19"/>
      <c r="H5" s="19"/>
    </row>
    <row r="6" spans="1:8">
      <c r="A6" t="s">
        <v>8</v>
      </c>
      <c r="B6" s="4">
        <v>0.9776184684516076</v>
      </c>
      <c r="D6" s="19"/>
      <c r="E6" s="19"/>
      <c r="F6" s="19"/>
      <c r="G6" s="19"/>
      <c r="H6" s="19"/>
    </row>
    <row r="7" spans="1:8">
      <c r="A7" t="s">
        <v>57</v>
      </c>
      <c r="B7" s="4">
        <v>1.420768203898487E-2</v>
      </c>
      <c r="D7" s="19"/>
      <c r="E7" s="19"/>
      <c r="F7" s="19"/>
      <c r="G7" s="19"/>
      <c r="H7" s="19"/>
    </row>
    <row r="8" spans="1:8">
      <c r="A8" t="s">
        <v>13</v>
      </c>
      <c r="B8" s="4">
        <v>0.78601472134595163</v>
      </c>
      <c r="D8" s="19"/>
      <c r="E8" s="19"/>
      <c r="F8" s="19"/>
      <c r="G8" s="19"/>
      <c r="H8" s="19"/>
    </row>
    <row r="9" spans="1:8">
      <c r="A9" t="s">
        <v>58</v>
      </c>
      <c r="B9" s="4">
        <v>0.75343092430416403</v>
      </c>
      <c r="D9" s="19"/>
      <c r="E9" s="19"/>
      <c r="F9" s="19"/>
      <c r="G9" s="19"/>
      <c r="H9" s="19"/>
    </row>
    <row r="10" spans="1:8">
      <c r="A10" t="s">
        <v>17</v>
      </c>
      <c r="B10" s="4">
        <f>B9-B5</f>
        <v>1.2939258455117564E-2</v>
      </c>
      <c r="D10" s="19"/>
      <c r="E10" s="19"/>
      <c r="F10" s="19"/>
      <c r="G10" s="19"/>
      <c r="H10" s="19"/>
    </row>
    <row r="13" spans="1:8" ht="15">
      <c r="A13" s="1" t="s">
        <v>2</v>
      </c>
      <c r="B13" s="1" t="s">
        <v>59</v>
      </c>
      <c r="C13" s="1" t="s">
        <v>60</v>
      </c>
    </row>
    <row r="14" spans="1:8">
      <c r="A14" t="s">
        <v>20</v>
      </c>
      <c r="B14" s="4">
        <v>0.74049166584904647</v>
      </c>
      <c r="C14" s="4">
        <v>0.75343092430416403</v>
      </c>
    </row>
    <row r="15" spans="1:8">
      <c r="A15" t="s">
        <v>25</v>
      </c>
      <c r="B15" s="4">
        <v>0.72415378321148249</v>
      </c>
      <c r="C15" s="4">
        <v>0.71716938087003645</v>
      </c>
    </row>
    <row r="16" spans="1:8">
      <c r="A16" t="s">
        <v>29</v>
      </c>
      <c r="B16" s="4">
        <v>0.69704492245411598</v>
      </c>
      <c r="C16" s="4">
        <v>0.69090954504015079</v>
      </c>
    </row>
    <row r="17" spans="1:8">
      <c r="A17" t="s">
        <v>34</v>
      </c>
      <c r="B17" s="4">
        <v>0.69113988976449381</v>
      </c>
      <c r="C17" s="4">
        <v>0.69083899261555903</v>
      </c>
    </row>
    <row r="18" spans="1:8">
      <c r="A18" t="s">
        <v>38</v>
      </c>
      <c r="B18" s="4">
        <v>0.69621063670355465</v>
      </c>
      <c r="C18" s="4">
        <v>0.68663648343939798</v>
      </c>
    </row>
    <row r="19" spans="1:8">
      <c r="A19" t="s">
        <v>41</v>
      </c>
      <c r="B19" s="4">
        <v>0.69273867309472936</v>
      </c>
      <c r="C19" s="4">
        <v>0.68275506376707062</v>
      </c>
    </row>
    <row r="21" spans="1:8">
      <c r="A21" s="20" t="s">
        <v>61</v>
      </c>
      <c r="B21" s="20"/>
      <c r="C21" s="20"/>
      <c r="D21" s="20"/>
      <c r="E21" s="20"/>
      <c r="F21" s="20"/>
      <c r="G21" s="20"/>
      <c r="H21" s="20"/>
    </row>
    <row r="22" spans="1:8">
      <c r="A22" s="20"/>
      <c r="B22" s="20"/>
      <c r="C22" s="20"/>
      <c r="D22" s="20"/>
      <c r="E22" s="20"/>
      <c r="F22" s="20"/>
      <c r="G22" s="20"/>
      <c r="H22" s="20"/>
    </row>
    <row r="23" spans="1:8">
      <c r="A23" s="20"/>
      <c r="B23" s="20"/>
      <c r="C23" s="20"/>
      <c r="D23" s="20"/>
      <c r="E23" s="20"/>
      <c r="F23" s="20"/>
      <c r="G23" s="20"/>
      <c r="H23" s="20"/>
    </row>
    <row r="24" spans="1:8">
      <c r="A24" s="20"/>
      <c r="B24" s="20"/>
      <c r="C24" s="20"/>
      <c r="D24" s="20"/>
      <c r="E24" s="20"/>
      <c r="F24" s="20"/>
      <c r="G24" s="20"/>
      <c r="H24" s="20"/>
    </row>
  </sheetData>
  <mergeCells count="3">
    <mergeCell ref="A1:H1"/>
    <mergeCell ref="D3:H10"/>
    <mergeCell ref="A21:H2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Comparaison</vt:lpstr>
      <vt:lpstr>Détail classes</vt:lpstr>
      <vt:lpstr>Choix 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Fiévet Hugo</cp:lastModifiedBy>
  <dcterms:modified xsi:type="dcterms:W3CDTF">2026-08-11T23:15:02Z</dcterms:modified>
</cp:coreProperties>
</file>